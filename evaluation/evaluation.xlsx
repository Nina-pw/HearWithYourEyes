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r_4_2_2568\Project\"/>
    </mc:Choice>
  </mc:AlternateContent>
  <xr:revisionPtr revIDLastSave="0" documentId="13_ncr:1_{67CB4808-36AD-46D5-8817-EBE4261498E4}" xr6:coauthVersionLast="47" xr6:coauthVersionMax="47" xr10:uidLastSave="{00000000-0000-0000-0000-000000000000}"/>
  <bookViews>
    <workbookView xWindow="-108" yWindow="-108" windowWidth="23256" windowHeight="12456" xr2:uid="{1FE27A49-18A0-487E-BD6B-469A6CD8E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N38" i="1"/>
  <c r="N39" i="1"/>
  <c r="M37" i="1"/>
  <c r="M38" i="1"/>
  <c r="O38" i="1" s="1"/>
  <c r="M39" i="1"/>
  <c r="M36" i="1"/>
  <c r="M40" i="1" s="1"/>
  <c r="N36" i="1"/>
  <c r="O33" i="1"/>
  <c r="N33" i="1"/>
  <c r="M33" i="1"/>
  <c r="J34" i="1"/>
  <c r="M10" i="1"/>
  <c r="N10" i="1"/>
  <c r="P10" i="1"/>
  <c r="M11" i="1"/>
  <c r="N11" i="1"/>
  <c r="P11" i="1"/>
  <c r="M12" i="1"/>
  <c r="N12" i="1"/>
  <c r="P12" i="1"/>
  <c r="M13" i="1"/>
  <c r="N13" i="1"/>
  <c r="P13" i="1"/>
  <c r="M7" i="1"/>
  <c r="N7" i="1"/>
  <c r="O7" i="1"/>
  <c r="P7" i="1"/>
  <c r="N40" i="1" l="1"/>
  <c r="O37" i="1"/>
  <c r="O39" i="1"/>
  <c r="O36" i="1"/>
  <c r="O10" i="1"/>
  <c r="O13" i="1"/>
  <c r="O12" i="1"/>
  <c r="P14" i="1"/>
  <c r="N14" i="1"/>
  <c r="M14" i="1"/>
  <c r="O11" i="1"/>
  <c r="O14" i="1" l="1"/>
  <c r="O40" i="1"/>
</calcChain>
</file>

<file path=xl/sharedStrings.xml><?xml version="1.0" encoding="utf-8"?>
<sst xmlns="http://schemas.openxmlformats.org/spreadsheetml/2006/main" count="528" uniqueCount="137">
  <si>
    <t>ประเภทเหตุการณ์</t>
  </si>
  <si>
    <t>เสียง</t>
  </si>
  <si>
    <t>เหตุฉุกเฉิน</t>
  </si>
  <si>
    <t>ทดสอบรอบที่ 1</t>
  </si>
  <si>
    <t>ทดสอบรอบที่ 2</t>
  </si>
  <si>
    <t>เหตุเตือน</t>
  </si>
  <si>
    <t>เหตุทั่วไป</t>
  </si>
  <si>
    <t>เหตุเชิงบริบท</t>
  </si>
  <si>
    <t>สี</t>
  </si>
  <si>
    <t>เสียงที่ได้</t>
  </si>
  <si>
    <t>สีที่ได้</t>
  </si>
  <si>
    <t>คลิปที่</t>
  </si>
  <si>
    <t>TP</t>
  </si>
  <si>
    <t>FP</t>
  </si>
  <si>
    <t>FN</t>
  </si>
  <si>
    <t>TN</t>
  </si>
  <si>
    <t>Precision</t>
  </si>
  <si>
    <t>Recall</t>
  </si>
  <si>
    <t>F1-score</t>
  </si>
  <si>
    <t xml:space="preserve">ประเภทเหตุการณ์ </t>
  </si>
  <si>
    <t>Accuracy</t>
  </si>
  <si>
    <t>สีแดง</t>
  </si>
  <si>
    <t>สีส้ม</t>
  </si>
  <si>
    <t>สีเหลือง</t>
  </si>
  <si>
    <t>สีเขียว</t>
  </si>
  <si>
    <t>สีฟ้า</t>
  </si>
  <si>
    <t>ผลที่ระบบทำนาย</t>
  </si>
  <si>
    <t>สถานการณ์จริง</t>
  </si>
  <si>
    <t>Emergency</t>
  </si>
  <si>
    <t>เหตุฉุกเฉิน Emergency</t>
  </si>
  <si>
    <t>เหตุเตือน Warning</t>
  </si>
  <si>
    <t>เหตุทั่วไป General</t>
  </si>
  <si>
    <t>เหตุเชิงบริบท Contextual</t>
  </si>
  <si>
    <t>Warning</t>
  </si>
  <si>
    <t>General</t>
  </si>
  <si>
    <t>ไม่แจ้งเตือน</t>
  </si>
  <si>
    <t>Contextual</t>
  </si>
  <si>
    <t>ตรวจถูก 8 พลาด 2</t>
  </si>
  <si>
    <t>ตรวจถูก 9 พลาด 1</t>
  </si>
  <si>
    <t xml:space="preserve">เหตุฉุกเฉิน: มี 10 ครั้ง </t>
  </si>
  <si>
    <t xml:space="preserve">→ </t>
  </si>
  <si>
    <t xml:space="preserve">เหตุเตือน: มี 10 ครั้ง </t>
  </si>
  <si>
    <t xml:space="preserve">เหตุทั่วไป: มี 10 ครั้ง </t>
  </si>
  <si>
    <t>ตรวจถูกทั้งหมด</t>
  </si>
  <si>
    <t xml:space="preserve">เหตุเชิงบริบท: มี 10 ครั้ง </t>
  </si>
  <si>
    <t>ระดับความรุนแรงที่คาดหวัง</t>
  </si>
  <si>
    <t>เหตุการณ์ที่ 2</t>
  </si>
  <si>
    <t>เหตุการณ์ที่ 1</t>
  </si>
  <si>
    <t>เหตุการณ์ที่ 3</t>
  </si>
  <si>
    <t>ระดับความรุนแรงที่ระบบทำนาย</t>
  </si>
  <si>
    <t>ถูกต้อง</t>
  </si>
  <si>
    <t>ค่าเฉลี่ย</t>
  </si>
  <si>
    <t>ระดับเหตุการณ์</t>
  </si>
  <si>
    <t>จํานวนเหตุการณ์จริง</t>
  </si>
  <si>
    <t>รวม</t>
  </si>
  <si>
    <t>1. ผลการทดสอบด้วยเสียงเดี่ยวในสภาพแวดล้อมควบคุมได้ (แต่ละประเภททดสอบ 10 ครั้ง รวมทั้งหมด 40 ครั้ง)</t>
  </si>
  <si>
    <r>
      <t xml:space="preserve">ถ้าระบบ “จำแนกประเภทเหตุการณ์ถูกต้อง” = </t>
    </r>
    <r>
      <rPr>
        <b/>
        <sz val="16"/>
        <color theme="1"/>
        <rFont val="TH Sarabun New"/>
        <family val="2"/>
      </rPr>
      <t>TP</t>
    </r>
  </si>
  <si>
    <r>
      <t xml:space="preserve">ถ้าสถานการณ์จริงเป็นประเภทนั้น แต่ระบบทำนายเป็นอย่างอื่น / ไม่แจ้งเตือน = </t>
    </r>
    <r>
      <rPr>
        <b/>
        <sz val="16"/>
        <color theme="1"/>
        <rFont val="TH Sarabun New"/>
        <family val="2"/>
      </rPr>
      <t>FN</t>
    </r>
  </si>
  <si>
    <r>
      <t xml:space="preserve">ถ้าสถานการณ์จริงไม่ใช่ประเภทนั้น แต่ระบบทำนายว่าเป็นประเภทนั้น = </t>
    </r>
    <r>
      <rPr>
        <b/>
        <sz val="16"/>
        <color theme="1"/>
        <rFont val="TH Sarabun New"/>
        <family val="2"/>
      </rPr>
      <t>FP</t>
    </r>
  </si>
  <si>
    <r>
      <t xml:space="preserve">ถ้าสถานการณ์จริงไม่ใช่ประเภทนั้น และระบบก็ไม่ทำนายเป็นประเภทนั้น = </t>
    </r>
    <r>
      <rPr>
        <b/>
        <sz val="16"/>
        <color theme="1"/>
        <rFont val="TH Sarabun New"/>
        <family val="2"/>
      </rPr>
      <t>TN</t>
    </r>
  </si>
  <si>
    <t>Ringtone</t>
  </si>
  <si>
    <t>Dog Bark</t>
  </si>
  <si>
    <t>Glass Breaking</t>
  </si>
  <si>
    <t>Siren</t>
  </si>
  <si>
    <t>None</t>
  </si>
  <si>
    <t>Fire alarm</t>
  </si>
  <si>
    <t>Talking</t>
  </si>
  <si>
    <t>Scream</t>
  </si>
  <si>
    <t>Engine</t>
  </si>
  <si>
    <t>Vacuum Cleaner</t>
  </si>
  <si>
    <t>Kettle Whistle</t>
  </si>
  <si>
    <t>Gun Shot</t>
  </si>
  <si>
    <t>Baby Crying</t>
  </si>
  <si>
    <t>Raining</t>
  </si>
  <si>
    <t>Motor</t>
  </si>
  <si>
    <t>Knocking</t>
  </si>
  <si>
    <t>ไม่ถูกต้อง</t>
  </si>
  <si>
    <t>No Alerts</t>
  </si>
  <si>
    <t>ไม่มีระดับเหตุการณ์</t>
  </si>
  <si>
    <t>เหตุฉุกเฉิน: พบครบ 5 เหตุการณ์ → TP=5</t>
  </si>
  <si>
    <t>เหตุเตือน: พบครบ 4 เหตุการณ์ → TP=4</t>
  </si>
  <si>
    <t>เหตุทั่วไป: มี 3 เหตุการณ์ → ระบบพลาด 1 (คลิป 10) → TP=2, FN=1</t>
  </si>
  <si>
    <t>เหตุเชิงบริบท: พบครบ 6 → TP=6</t>
  </si>
  <si>
    <t>ไม่พบการทำนายข้ามคลาส → FP=0</t>
  </si>
  <si>
    <r>
      <t xml:space="preserve">Emergency: ถูก 4/5 ต่อรอบ → รวม </t>
    </r>
    <r>
      <rPr>
        <b/>
        <sz val="16"/>
        <color theme="1"/>
        <rFont val="TH Sarabun New"/>
        <family val="2"/>
      </rPr>
      <t>TP = 8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2</t>
    </r>
  </si>
  <si>
    <r>
      <t xml:space="preserve">Warning: รอบที่ 1 ถูก 4/5, รอบที่ 2 ถูก 5/5 → รวม </t>
    </r>
    <r>
      <rPr>
        <b/>
        <sz val="16"/>
        <color theme="1"/>
        <rFont val="TH Sarabun New"/>
        <family val="2"/>
      </rPr>
      <t>TP = 9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1</t>
    </r>
  </si>
  <si>
    <r>
      <t xml:space="preserve">General: ถูก 4/5 ต่อรอบ → รวม </t>
    </r>
    <r>
      <rPr>
        <b/>
        <sz val="16"/>
        <color theme="1"/>
        <rFont val="TH Sarabun New"/>
        <family val="2"/>
      </rPr>
      <t>TP = 8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2</t>
    </r>
  </si>
  <si>
    <r>
      <t xml:space="preserve">Contextual: ถูก 5/5 ต่อรอบ → รวม </t>
    </r>
    <r>
      <rPr>
        <b/>
        <sz val="16"/>
        <color theme="1"/>
        <rFont val="TH Sarabun New"/>
        <family val="2"/>
      </rPr>
      <t>TP = 10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0</t>
    </r>
  </si>
  <si>
    <r>
      <t xml:space="preserve">เคส FP: จากข้อมูลนี้ “การทำนายประเภทเหตุการณ์” ไม่เกิดการข้ามคลาส (พลาดเป็นเสียง/สีผิดแต่ยังอยู่คลาสเดิม) → </t>
    </r>
    <r>
      <rPr>
        <b/>
        <sz val="16"/>
        <color theme="1"/>
        <rFont val="TH Sarabun New"/>
        <family val="2"/>
      </rPr>
      <t>FP = 0 ทุกคลาส</t>
    </r>
  </si>
  <si>
    <r>
      <t>Precision</t>
    </r>
    <r>
      <rPr>
        <sz val="16"/>
        <color theme="1"/>
        <rFont val="TH Sarabun New"/>
        <family val="2"/>
      </rPr>
      <t xml:space="preserve"> = TP / (TP + FP)</t>
    </r>
  </si>
  <si>
    <r>
      <t>Recall</t>
    </r>
    <r>
      <rPr>
        <sz val="16"/>
        <color theme="1"/>
        <rFont val="TH Sarabun New"/>
        <family val="2"/>
      </rPr>
      <t xml:space="preserve"> = TP / (TP + FN)</t>
    </r>
  </si>
  <si>
    <r>
      <t>F1-score</t>
    </r>
    <r>
      <rPr>
        <sz val="16"/>
        <color theme="1"/>
        <rFont val="TH Sarabun New"/>
        <family val="2"/>
      </rPr>
      <t xml:space="preserve"> = 2 × Precision × Recall / (Precision + Recall)</t>
    </r>
  </si>
  <si>
    <r>
      <t>Accuracy</t>
    </r>
    <r>
      <rPr>
        <sz val="16"/>
        <color theme="1"/>
        <rFont val="TH Sarabun New"/>
        <family val="2"/>
      </rPr>
      <t xml:space="preserve"> = (TP + TN) / (TP + FP + FN + TN)</t>
    </r>
  </si>
  <si>
    <t>3. ผลการทดสอบภาคสนาม</t>
  </si>
  <si>
    <t>2. ผลการทดสอบเสียงซ้อนทับหลายเหตุการณ์</t>
  </si>
  <si>
    <t xml:space="preserve">วันที่ </t>
  </si>
  <si>
    <t xml:space="preserve">เวลา </t>
  </si>
  <si>
    <t xml:space="preserve">เหตุการณ์จริง </t>
  </si>
  <si>
    <t>ผลการประเมิน</t>
  </si>
  <si>
    <t>Telephone Ringing</t>
  </si>
  <si>
    <t>แจ้งเตือน</t>
  </si>
  <si>
    <t>ระบบแจ้งเตือนหรือไม่</t>
  </si>
  <si>
    <t>ระดับเหตุการณ์จริง</t>
  </si>
  <si>
    <t>สีที่แสดง</t>
  </si>
  <si>
    <t>หมายเหตุ</t>
  </si>
  <si>
    <t>–</t>
  </si>
  <si>
    <t>ไม่มีเหตุการณ์</t>
  </si>
  <si>
    <t>Doorbell</t>
  </si>
  <si>
    <t>บ้านที่ 1</t>
  </si>
  <si>
    <t>ช่วงทดสอบ: 19/01/2568 – 21/01/2568</t>
  </si>
  <si>
    <t>Miss</t>
  </si>
  <si>
    <t>บ้านที่ 2</t>
  </si>
  <si>
    <t>ช่วงทดสอบ: 07/02/2568 – 09/02/2568</t>
  </si>
  <si>
    <t>ถูกต้อง = 11 ครั้ง</t>
  </si>
  <si>
    <t>ไม่ถูกต้อง = 1 ครั้ง (False Alarm: 22:10 ไม่มีเหตุการณ์จริง แต่ระบบแจ้งเตือน)</t>
  </si>
  <si>
    <r>
      <t>นับเหตุการณ์ทั้งหมด</t>
    </r>
    <r>
      <rPr>
        <sz val="16"/>
        <color theme="1"/>
        <rFont val="TH Sarabun New"/>
        <family val="2"/>
      </rPr>
      <t xml:space="preserve"> = 12 ครั้ง</t>
    </r>
  </si>
  <si>
    <r>
      <t>จำนวนเหตุการณ์จริงทั้งหมด (มีเหตุการณ์)</t>
    </r>
    <r>
      <rPr>
        <sz val="16"/>
        <color theme="1"/>
        <rFont val="TH Sarabun New"/>
        <family val="2"/>
      </rPr>
      <t xml:space="preserve"> = 11 ครั้ง</t>
    </r>
  </si>
  <si>
    <r>
      <t>จำนวนครั้งที่ไม่มีเหตุการณ์จริง</t>
    </r>
    <r>
      <rPr>
        <sz val="16"/>
        <color theme="1"/>
        <rFont val="TH Sarabun New"/>
        <family val="2"/>
      </rPr>
      <t xml:space="preserve"> = 1 ครั้ง</t>
    </r>
  </si>
  <si>
    <r>
      <t>Miss (พลาดเหตุการณ์จริง)</t>
    </r>
    <r>
      <rPr>
        <sz val="16"/>
        <color theme="1"/>
        <rFont val="TH Sarabun New"/>
        <family val="2"/>
      </rPr>
      <t xml:space="preserve"> = 0 ครั้ง</t>
    </r>
  </si>
  <si>
    <t>ไม่ถูกต้อง = 2 ครั้ง</t>
  </si>
  <si>
    <t>False Alarm: 1 ครั้ง (23:05 ไม่มีเหตุการณ์จริง แต่ระบบแจ้งเตือน)</t>
  </si>
  <si>
    <t>Miss: 1 ครั้ง (20:33 Knocking แต่ระบบไม่แจ้งเตือน)</t>
  </si>
  <si>
    <r>
      <t>Miss</t>
    </r>
    <r>
      <rPr>
        <sz val="16"/>
        <color theme="1"/>
        <rFont val="TH Sarabun New"/>
        <family val="2"/>
      </rPr>
      <t xml:space="preserve"> = 1 ครั้ง</t>
    </r>
  </si>
  <si>
    <r>
      <t>นับเหตุการณ์ทั้งหมด</t>
    </r>
    <r>
      <rPr>
        <sz val="16"/>
        <color theme="1"/>
        <rFont val="TH Sarabun New"/>
        <family val="2"/>
      </rPr>
      <t xml:space="preserve"> = 10 ครั้ง</t>
    </r>
  </si>
  <si>
    <t>ถูกต้อง = 8 ครั้ง</t>
  </si>
  <si>
    <r>
      <t>จำนวนเหตุการณ์จริงทั้งหมด (มีเหตุการณ์)</t>
    </r>
    <r>
      <rPr>
        <sz val="16"/>
        <color theme="1"/>
        <rFont val="TH Sarabun New"/>
        <family val="2"/>
      </rPr>
      <t xml:space="preserve"> = 9 ครั้ง</t>
    </r>
  </si>
  <si>
    <t>Shouting</t>
  </si>
  <si>
    <t>ตัวชี้วัด</t>
  </si>
  <si>
    <t>ผลการทดลอง</t>
  </si>
  <si>
    <t>Miss Rate</t>
  </si>
  <si>
    <t>เสียงลม/พัดลม</t>
  </si>
  <si>
    <t>เสียงทีวีดัง</t>
  </si>
  <si>
    <t>Explosion</t>
  </si>
  <si>
    <t>Gunshot</t>
  </si>
  <si>
    <t>Gas Leak</t>
  </si>
  <si>
    <t>Scream/Shout</t>
  </si>
  <si>
    <t>Kettle whistle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</si>
</sst>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8"/>
      <color rgb="FFFF0000"/>
      <name val="TH Sarabun New"/>
      <family val="2"/>
    </font>
    <font>
      <sz val="18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20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B18A-2508-4D10-8C40-8FC732173863}">
  <dimension ref="A1:T79"/>
  <sheetViews>
    <sheetView tabSelected="1" topLeftCell="A58" zoomScale="58" zoomScaleNormal="60" workbookViewId="0">
      <selection activeCell="I24" sqref="I24"/>
    </sheetView>
  </sheetViews>
  <sheetFormatPr defaultColWidth="20.8984375" defaultRowHeight="37.200000000000003" customHeight="1" x14ac:dyDescent="0.4"/>
  <cols>
    <col min="1" max="1" width="12.59765625" style="4" customWidth="1"/>
    <col min="2" max="6" width="20.8984375" style="8"/>
    <col min="7" max="8" width="20.8984375" style="8" customWidth="1"/>
    <col min="9" max="16384" width="20.8984375" style="8"/>
  </cols>
  <sheetData>
    <row r="1" spans="1:19" ht="37.200000000000003" customHeight="1" x14ac:dyDescent="0.4">
      <c r="A1" s="46" t="s">
        <v>55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9" ht="37.200000000000003" customHeight="1" x14ac:dyDescent="0.7">
      <c r="A2" s="59" t="s">
        <v>11</v>
      </c>
      <c r="B2" s="59" t="s">
        <v>0</v>
      </c>
      <c r="C2" s="55" t="s">
        <v>27</v>
      </c>
      <c r="D2" s="56"/>
      <c r="E2" s="55" t="s">
        <v>26</v>
      </c>
      <c r="F2" s="45"/>
      <c r="G2" s="45"/>
      <c r="H2" s="45"/>
      <c r="I2" s="45"/>
      <c r="J2" s="56"/>
      <c r="L2" s="5" t="s">
        <v>0</v>
      </c>
      <c r="M2" s="5" t="s">
        <v>12</v>
      </c>
      <c r="N2" s="5" t="s">
        <v>13</v>
      </c>
      <c r="O2" s="5" t="s">
        <v>14</v>
      </c>
      <c r="P2" s="5" t="s">
        <v>15</v>
      </c>
      <c r="R2" s="1" t="s">
        <v>56</v>
      </c>
      <c r="S2" s="1"/>
    </row>
    <row r="3" spans="1:19" ht="37.200000000000003" customHeight="1" x14ac:dyDescent="0.7">
      <c r="A3" s="59"/>
      <c r="B3" s="59"/>
      <c r="C3" s="57"/>
      <c r="D3" s="58"/>
      <c r="E3" s="59" t="s">
        <v>3</v>
      </c>
      <c r="F3" s="59"/>
      <c r="G3" s="59"/>
      <c r="H3" s="60" t="s">
        <v>4</v>
      </c>
      <c r="I3" s="61"/>
      <c r="J3" s="62"/>
      <c r="L3" s="7" t="s">
        <v>2</v>
      </c>
      <c r="M3" s="9">
        <v>8</v>
      </c>
      <c r="N3" s="9">
        <v>0</v>
      </c>
      <c r="O3" s="9">
        <v>2</v>
      </c>
      <c r="P3" s="9">
        <v>30</v>
      </c>
      <c r="R3" s="1" t="s">
        <v>57</v>
      </c>
    </row>
    <row r="4" spans="1:19" ht="37.200000000000003" customHeight="1" x14ac:dyDescent="0.7">
      <c r="A4" s="59"/>
      <c r="B4" s="59"/>
      <c r="C4" s="5" t="s">
        <v>1</v>
      </c>
      <c r="D4" s="5" t="s">
        <v>8</v>
      </c>
      <c r="E4" s="6" t="s">
        <v>0</v>
      </c>
      <c r="F4" s="6" t="s">
        <v>9</v>
      </c>
      <c r="G4" s="6" t="s">
        <v>10</v>
      </c>
      <c r="H4" s="6" t="s">
        <v>0</v>
      </c>
      <c r="I4" s="6" t="s">
        <v>9</v>
      </c>
      <c r="J4" s="6" t="s">
        <v>10</v>
      </c>
      <c r="L4" s="5" t="s">
        <v>5</v>
      </c>
      <c r="M4" s="3">
        <v>9</v>
      </c>
      <c r="N4" s="3">
        <v>0</v>
      </c>
      <c r="O4" s="3">
        <v>1</v>
      </c>
      <c r="P4" s="3">
        <v>30</v>
      </c>
      <c r="R4" s="1" t="s">
        <v>58</v>
      </c>
      <c r="S4" s="1"/>
    </row>
    <row r="5" spans="1:19" ht="37.200000000000003" customHeight="1" x14ac:dyDescent="0.7">
      <c r="A5" s="5">
        <v>1</v>
      </c>
      <c r="B5" s="47" t="s">
        <v>29</v>
      </c>
      <c r="C5" s="17" t="s">
        <v>65</v>
      </c>
      <c r="D5" s="3" t="s">
        <v>21</v>
      </c>
      <c r="E5" s="2" t="s">
        <v>28</v>
      </c>
      <c r="F5" s="17" t="s">
        <v>65</v>
      </c>
      <c r="G5" s="3" t="s">
        <v>21</v>
      </c>
      <c r="H5" s="2" t="s">
        <v>28</v>
      </c>
      <c r="I5" s="17" t="s">
        <v>65</v>
      </c>
      <c r="J5" s="3" t="s">
        <v>21</v>
      </c>
      <c r="L5" s="5" t="s">
        <v>6</v>
      </c>
      <c r="M5" s="3">
        <v>8</v>
      </c>
      <c r="N5" s="3">
        <v>0</v>
      </c>
      <c r="O5" s="3">
        <v>2</v>
      </c>
      <c r="P5" s="3">
        <v>30</v>
      </c>
      <c r="R5" s="1" t="s">
        <v>59</v>
      </c>
    </row>
    <row r="6" spans="1:19" ht="37.200000000000003" customHeight="1" x14ac:dyDescent="0.7">
      <c r="A6" s="5">
        <v>2</v>
      </c>
      <c r="B6" s="48"/>
      <c r="C6" s="3" t="s">
        <v>132</v>
      </c>
      <c r="D6" s="3" t="s">
        <v>21</v>
      </c>
      <c r="E6" s="2" t="s">
        <v>28</v>
      </c>
      <c r="F6" s="3" t="s">
        <v>132</v>
      </c>
      <c r="G6" s="3" t="s">
        <v>21</v>
      </c>
      <c r="H6" s="2" t="s">
        <v>28</v>
      </c>
      <c r="I6" s="3" t="s">
        <v>132</v>
      </c>
      <c r="J6" s="3" t="s">
        <v>21</v>
      </c>
      <c r="L6" s="5" t="s">
        <v>7</v>
      </c>
      <c r="M6" s="3">
        <v>10</v>
      </c>
      <c r="N6" s="3">
        <v>0</v>
      </c>
      <c r="O6" s="3">
        <v>0</v>
      </c>
      <c r="P6" s="3">
        <v>30</v>
      </c>
      <c r="S6" s="1"/>
    </row>
    <row r="7" spans="1:19" ht="37.200000000000003" customHeight="1" x14ac:dyDescent="0.7">
      <c r="A7" s="5">
        <v>3</v>
      </c>
      <c r="B7" s="48"/>
      <c r="C7" s="17" t="s">
        <v>63</v>
      </c>
      <c r="D7" s="3" t="s">
        <v>21</v>
      </c>
      <c r="E7" s="2" t="s">
        <v>28</v>
      </c>
      <c r="F7" s="17" t="s">
        <v>63</v>
      </c>
      <c r="G7" s="3" t="s">
        <v>21</v>
      </c>
      <c r="H7" s="2" t="s">
        <v>28</v>
      </c>
      <c r="I7" s="17" t="s">
        <v>63</v>
      </c>
      <c r="J7" s="3" t="s">
        <v>21</v>
      </c>
      <c r="L7" s="5" t="s">
        <v>51</v>
      </c>
      <c r="M7" s="3">
        <f>AVERAGE(M3:M6)</f>
        <v>8.75</v>
      </c>
      <c r="N7" s="3">
        <f>AVERAGE(N3:N6)</f>
        <v>0</v>
      </c>
      <c r="O7" s="3">
        <f>AVERAGE(O3:O6)</f>
        <v>1.25</v>
      </c>
      <c r="P7" s="3">
        <f>AVERAGE(P3:P6)</f>
        <v>30</v>
      </c>
      <c r="R7" s="1"/>
    </row>
    <row r="8" spans="1:19" ht="37.200000000000003" customHeight="1" x14ac:dyDescent="0.7">
      <c r="A8" s="5">
        <v>4</v>
      </c>
      <c r="B8" s="48"/>
      <c r="C8" s="3" t="s">
        <v>133</v>
      </c>
      <c r="D8" s="3" t="s">
        <v>21</v>
      </c>
      <c r="E8" s="2" t="s">
        <v>28</v>
      </c>
      <c r="F8" s="3" t="s">
        <v>133</v>
      </c>
      <c r="G8" s="3" t="s">
        <v>21</v>
      </c>
      <c r="H8" s="2" t="s">
        <v>28</v>
      </c>
      <c r="I8" s="3" t="s">
        <v>133</v>
      </c>
      <c r="J8" s="3" t="s">
        <v>21</v>
      </c>
      <c r="S8" s="1"/>
    </row>
    <row r="9" spans="1:19" ht="37.200000000000003" customHeight="1" x14ac:dyDescent="0.7">
      <c r="A9" s="5">
        <v>5</v>
      </c>
      <c r="B9" s="49"/>
      <c r="C9" s="29" t="s">
        <v>134</v>
      </c>
      <c r="D9" s="29" t="s">
        <v>21</v>
      </c>
      <c r="E9" s="30" t="s">
        <v>28</v>
      </c>
      <c r="F9" s="29" t="s">
        <v>133</v>
      </c>
      <c r="G9" s="29" t="s">
        <v>21</v>
      </c>
      <c r="H9" s="30" t="s">
        <v>28</v>
      </c>
      <c r="I9" s="29" t="s">
        <v>133</v>
      </c>
      <c r="J9" s="29" t="s">
        <v>21</v>
      </c>
      <c r="L9" s="5" t="s">
        <v>19</v>
      </c>
      <c r="M9" s="5" t="s">
        <v>16</v>
      </c>
      <c r="N9" s="5" t="s">
        <v>17</v>
      </c>
      <c r="O9" s="5" t="s">
        <v>18</v>
      </c>
      <c r="P9" s="5" t="s">
        <v>20</v>
      </c>
      <c r="R9" s="1"/>
    </row>
    <row r="10" spans="1:19" ht="37.200000000000003" customHeight="1" x14ac:dyDescent="0.7">
      <c r="A10" s="5">
        <v>6</v>
      </c>
      <c r="B10" s="47" t="s">
        <v>30</v>
      </c>
      <c r="C10" s="17" t="s">
        <v>62</v>
      </c>
      <c r="D10" s="3" t="s">
        <v>22</v>
      </c>
      <c r="E10" s="3" t="s">
        <v>33</v>
      </c>
      <c r="F10" s="17" t="s">
        <v>62</v>
      </c>
      <c r="G10" s="3" t="s">
        <v>22</v>
      </c>
      <c r="H10" s="3" t="s">
        <v>33</v>
      </c>
      <c r="I10" s="17" t="s">
        <v>62</v>
      </c>
      <c r="J10" s="3" t="s">
        <v>22</v>
      </c>
      <c r="L10" s="5" t="s">
        <v>2</v>
      </c>
      <c r="M10" s="3">
        <f>M3/(M3+N3)</f>
        <v>1</v>
      </c>
      <c r="N10" s="3">
        <f>M3/(M3+O3)</f>
        <v>0.8</v>
      </c>
      <c r="O10" s="3">
        <f>2*M10*N10/(M10+N10)</f>
        <v>0.88888888888888895</v>
      </c>
      <c r="P10" s="3">
        <f>(M3+P3)/(M3+N3+O3+P3)</f>
        <v>0.95</v>
      </c>
      <c r="R10" s="21" t="s">
        <v>89</v>
      </c>
    </row>
    <row r="11" spans="1:19" ht="37.200000000000003" customHeight="1" x14ac:dyDescent="0.7">
      <c r="A11" s="5">
        <v>7</v>
      </c>
      <c r="B11" s="48"/>
      <c r="C11" s="17" t="s">
        <v>62</v>
      </c>
      <c r="D11" s="3" t="s">
        <v>22</v>
      </c>
      <c r="E11" s="3" t="s">
        <v>33</v>
      </c>
      <c r="F11" s="17" t="s">
        <v>62</v>
      </c>
      <c r="G11" s="3" t="s">
        <v>22</v>
      </c>
      <c r="H11" s="3" t="s">
        <v>33</v>
      </c>
      <c r="I11" s="17" t="s">
        <v>62</v>
      </c>
      <c r="J11" s="3" t="s">
        <v>22</v>
      </c>
      <c r="L11" s="5" t="s">
        <v>5</v>
      </c>
      <c r="M11" s="3">
        <f>M4/(M4+N4)</f>
        <v>1</v>
      </c>
      <c r="N11" s="3">
        <f>M4/(M4+O4)</f>
        <v>0.9</v>
      </c>
      <c r="O11" s="3">
        <f t="shared" ref="O11:O14" si="0">2*M11*N11/(M11+N11)</f>
        <v>0.94736842105263164</v>
      </c>
      <c r="P11" s="3">
        <f>(M4+P4)/(M4+N4+O4+P4)</f>
        <v>0.97499999999999998</v>
      </c>
      <c r="R11" s="21" t="s">
        <v>90</v>
      </c>
    </row>
    <row r="12" spans="1:19" ht="37.200000000000003" customHeight="1" x14ac:dyDescent="0.7">
      <c r="A12" s="5">
        <v>8</v>
      </c>
      <c r="B12" s="48"/>
      <c r="C12" s="17" t="s">
        <v>135</v>
      </c>
      <c r="D12" s="3" t="s">
        <v>23</v>
      </c>
      <c r="E12" s="3" t="s">
        <v>33</v>
      </c>
      <c r="F12" s="17" t="s">
        <v>135</v>
      </c>
      <c r="G12" s="3" t="s">
        <v>23</v>
      </c>
      <c r="H12" s="3" t="s">
        <v>33</v>
      </c>
      <c r="I12" s="17" t="s">
        <v>135</v>
      </c>
      <c r="J12" s="3" t="s">
        <v>23</v>
      </c>
      <c r="L12" s="5" t="s">
        <v>6</v>
      </c>
      <c r="M12" s="3">
        <f>M5/(M5+N5)</f>
        <v>1</v>
      </c>
      <c r="N12" s="3">
        <f>M5/(M5+O5)</f>
        <v>0.8</v>
      </c>
      <c r="O12" s="3">
        <f t="shared" si="0"/>
        <v>0.88888888888888895</v>
      </c>
      <c r="P12" s="3">
        <f>(M5+P5)/(M5+N5+O5+P5)</f>
        <v>0.95</v>
      </c>
      <c r="R12" s="21" t="s">
        <v>91</v>
      </c>
    </row>
    <row r="13" spans="1:19" ht="37.200000000000003" customHeight="1" x14ac:dyDescent="0.7">
      <c r="A13" s="5">
        <v>9</v>
      </c>
      <c r="B13" s="48"/>
      <c r="C13" s="17" t="s">
        <v>135</v>
      </c>
      <c r="D13" s="3" t="s">
        <v>23</v>
      </c>
      <c r="E13" s="3" t="s">
        <v>33</v>
      </c>
      <c r="F13" s="17" t="s">
        <v>135</v>
      </c>
      <c r="G13" s="3" t="s">
        <v>23</v>
      </c>
      <c r="H13" s="3" t="s">
        <v>33</v>
      </c>
      <c r="I13" s="17" t="s">
        <v>135</v>
      </c>
      <c r="J13" s="3" t="s">
        <v>23</v>
      </c>
      <c r="L13" s="5" t="s">
        <v>7</v>
      </c>
      <c r="M13" s="3">
        <f>M6/(M6+N6)</f>
        <v>1</v>
      </c>
      <c r="N13" s="3">
        <f>M6/(M6+O6)</f>
        <v>1</v>
      </c>
      <c r="O13" s="3">
        <f t="shared" si="0"/>
        <v>1</v>
      </c>
      <c r="P13" s="3">
        <f>(M6+P6)/(M6+N6+O6+P6)</f>
        <v>1</v>
      </c>
      <c r="R13" s="21" t="s">
        <v>92</v>
      </c>
    </row>
    <row r="14" spans="1:19" ht="37.200000000000003" customHeight="1" x14ac:dyDescent="0.4">
      <c r="A14" s="5">
        <v>10</v>
      </c>
      <c r="B14" s="49"/>
      <c r="C14" s="29" t="s">
        <v>136</v>
      </c>
      <c r="D14" s="29" t="s">
        <v>23</v>
      </c>
      <c r="E14" s="29" t="s">
        <v>33</v>
      </c>
      <c r="F14" s="29" t="s">
        <v>62</v>
      </c>
      <c r="G14" s="29" t="s">
        <v>22</v>
      </c>
      <c r="H14" s="3" t="s">
        <v>33</v>
      </c>
      <c r="I14" s="3" t="s">
        <v>136</v>
      </c>
      <c r="J14" s="3" t="s">
        <v>23</v>
      </c>
      <c r="L14" s="15" t="s">
        <v>51</v>
      </c>
      <c r="M14" s="16">
        <f>AVERAGE(M10:M13)</f>
        <v>1</v>
      </c>
      <c r="N14" s="16">
        <f>AVERAGE(N10:N13)</f>
        <v>0.875</v>
      </c>
      <c r="O14" s="16">
        <f t="shared" si="0"/>
        <v>0.93333333333333335</v>
      </c>
      <c r="P14" s="16">
        <f>AVERAGE(P10:P13)</f>
        <v>0.96875</v>
      </c>
    </row>
    <row r="15" spans="1:19" ht="37.200000000000003" customHeight="1" x14ac:dyDescent="0.4">
      <c r="A15" s="5">
        <v>11</v>
      </c>
      <c r="B15" s="47" t="s">
        <v>31</v>
      </c>
      <c r="C15" s="3" t="s">
        <v>99</v>
      </c>
      <c r="D15" s="3" t="s">
        <v>24</v>
      </c>
      <c r="E15" s="3" t="s">
        <v>34</v>
      </c>
      <c r="F15" s="3" t="s">
        <v>99</v>
      </c>
      <c r="G15" s="3" t="s">
        <v>24</v>
      </c>
      <c r="H15" s="3" t="s">
        <v>34</v>
      </c>
      <c r="I15" s="3" t="s">
        <v>99</v>
      </c>
      <c r="J15" s="3" t="s">
        <v>24</v>
      </c>
      <c r="R15"/>
    </row>
    <row r="16" spans="1:19" ht="37.200000000000003" customHeight="1" x14ac:dyDescent="0.75">
      <c r="A16" s="5">
        <v>12</v>
      </c>
      <c r="B16" s="48"/>
      <c r="C16" s="3" t="s">
        <v>107</v>
      </c>
      <c r="D16" s="3" t="s">
        <v>24</v>
      </c>
      <c r="E16" s="3" t="s">
        <v>34</v>
      </c>
      <c r="F16" s="3" t="s">
        <v>107</v>
      </c>
      <c r="G16" s="3" t="s">
        <v>24</v>
      </c>
      <c r="H16" s="3" t="s">
        <v>34</v>
      </c>
      <c r="I16" s="3" t="s">
        <v>107</v>
      </c>
      <c r="J16" s="3" t="s">
        <v>24</v>
      </c>
      <c r="L16" s="11" t="s">
        <v>39</v>
      </c>
      <c r="M16" s="12" t="s">
        <v>40</v>
      </c>
      <c r="N16" s="13" t="s">
        <v>37</v>
      </c>
      <c r="P16"/>
    </row>
    <row r="17" spans="1:20" ht="37.200000000000003" customHeight="1" x14ac:dyDescent="0.75">
      <c r="A17" s="5">
        <v>13</v>
      </c>
      <c r="B17" s="48"/>
      <c r="C17" s="3" t="s">
        <v>60</v>
      </c>
      <c r="D17" s="3" t="s">
        <v>24</v>
      </c>
      <c r="E17" s="3" t="s">
        <v>34</v>
      </c>
      <c r="F17" s="3" t="s">
        <v>60</v>
      </c>
      <c r="G17" s="3" t="s">
        <v>24</v>
      </c>
      <c r="H17" s="3" t="s">
        <v>34</v>
      </c>
      <c r="I17" s="3" t="s">
        <v>60</v>
      </c>
      <c r="J17" s="3" t="s">
        <v>24</v>
      </c>
      <c r="L17" s="11" t="s">
        <v>41</v>
      </c>
      <c r="M17" s="12" t="s">
        <v>40</v>
      </c>
      <c r="N17" s="13" t="s">
        <v>38</v>
      </c>
      <c r="Q17" s="19"/>
      <c r="R17"/>
    </row>
    <row r="18" spans="1:20" ht="37.200000000000003" customHeight="1" x14ac:dyDescent="0.75">
      <c r="A18" s="5">
        <v>14</v>
      </c>
      <c r="B18" s="48"/>
      <c r="C18" s="29" t="s">
        <v>75</v>
      </c>
      <c r="D18" s="29" t="s">
        <v>24</v>
      </c>
      <c r="E18" s="52" t="s">
        <v>35</v>
      </c>
      <c r="F18" s="53"/>
      <c r="G18" s="54"/>
      <c r="H18" s="52" t="s">
        <v>35</v>
      </c>
      <c r="I18" s="53"/>
      <c r="J18" s="54"/>
      <c r="L18" s="11" t="s">
        <v>42</v>
      </c>
      <c r="M18" s="12" t="s">
        <v>40</v>
      </c>
      <c r="N18" s="13" t="s">
        <v>37</v>
      </c>
    </row>
    <row r="19" spans="1:20" ht="37.200000000000003" customHeight="1" x14ac:dyDescent="0.75">
      <c r="A19" s="5">
        <v>15</v>
      </c>
      <c r="B19" s="49"/>
      <c r="C19" s="3" t="s">
        <v>99</v>
      </c>
      <c r="D19" s="3" t="s">
        <v>24</v>
      </c>
      <c r="E19" s="3" t="s">
        <v>34</v>
      </c>
      <c r="F19" s="3" t="s">
        <v>99</v>
      </c>
      <c r="G19" s="3" t="s">
        <v>24</v>
      </c>
      <c r="H19" s="3" t="s">
        <v>34</v>
      </c>
      <c r="I19" s="3" t="s">
        <v>99</v>
      </c>
      <c r="J19" s="3" t="s">
        <v>24</v>
      </c>
      <c r="L19" s="11" t="s">
        <v>44</v>
      </c>
      <c r="M19" s="12" t="s">
        <v>40</v>
      </c>
      <c r="N19" s="13" t="s">
        <v>43</v>
      </c>
      <c r="Q19" s="19"/>
      <c r="R19"/>
    </row>
    <row r="20" spans="1:20" ht="37.200000000000003" customHeight="1" x14ac:dyDescent="0.4">
      <c r="A20" s="5">
        <v>16</v>
      </c>
      <c r="B20" s="47" t="s">
        <v>32</v>
      </c>
      <c r="C20" s="17" t="s">
        <v>72</v>
      </c>
      <c r="D20" s="3" t="s">
        <v>25</v>
      </c>
      <c r="E20" s="3" t="s">
        <v>36</v>
      </c>
      <c r="F20" s="17" t="s">
        <v>72</v>
      </c>
      <c r="G20" s="3" t="s">
        <v>25</v>
      </c>
      <c r="H20" s="3" t="s">
        <v>36</v>
      </c>
      <c r="I20" s="17" t="s">
        <v>72</v>
      </c>
      <c r="J20" s="3" t="s">
        <v>25</v>
      </c>
      <c r="L20"/>
    </row>
    <row r="21" spans="1:20" ht="37.200000000000003" customHeight="1" x14ac:dyDescent="0.4">
      <c r="A21" s="5">
        <v>17</v>
      </c>
      <c r="B21" s="48"/>
      <c r="C21" s="17" t="s">
        <v>61</v>
      </c>
      <c r="D21" s="3" t="s">
        <v>25</v>
      </c>
      <c r="E21" s="3" t="s">
        <v>36</v>
      </c>
      <c r="F21" s="17" t="s">
        <v>61</v>
      </c>
      <c r="G21" s="3" t="s">
        <v>25</v>
      </c>
      <c r="H21" s="3" t="s">
        <v>36</v>
      </c>
      <c r="I21" s="17" t="s">
        <v>61</v>
      </c>
      <c r="J21" s="3" t="s">
        <v>25</v>
      </c>
      <c r="L21" s="20" t="s">
        <v>84</v>
      </c>
      <c r="O21" s="20" t="s">
        <v>88</v>
      </c>
      <c r="P21"/>
      <c r="Q21" s="19"/>
    </row>
    <row r="22" spans="1:20" ht="37.200000000000003" customHeight="1" x14ac:dyDescent="0.4">
      <c r="A22" s="5">
        <v>18</v>
      </c>
      <c r="B22" s="48"/>
      <c r="C22" s="17" t="s">
        <v>72</v>
      </c>
      <c r="D22" s="3" t="s">
        <v>25</v>
      </c>
      <c r="E22" s="3" t="s">
        <v>36</v>
      </c>
      <c r="F22" s="17" t="s">
        <v>72</v>
      </c>
      <c r="G22" s="3" t="s">
        <v>25</v>
      </c>
      <c r="H22" s="3" t="s">
        <v>36</v>
      </c>
      <c r="I22" s="17" t="s">
        <v>72</v>
      </c>
      <c r="J22" s="3" t="s">
        <v>25</v>
      </c>
      <c r="L22" s="20" t="s">
        <v>85</v>
      </c>
    </row>
    <row r="23" spans="1:20" ht="37.200000000000003" customHeight="1" x14ac:dyDescent="0.4">
      <c r="A23" s="5">
        <v>19</v>
      </c>
      <c r="B23" s="48"/>
      <c r="C23" s="17" t="s">
        <v>61</v>
      </c>
      <c r="D23" s="3" t="s">
        <v>25</v>
      </c>
      <c r="E23" s="3" t="s">
        <v>36</v>
      </c>
      <c r="F23" s="17" t="s">
        <v>61</v>
      </c>
      <c r="G23" s="3" t="s">
        <v>25</v>
      </c>
      <c r="H23" s="3" t="s">
        <v>36</v>
      </c>
      <c r="I23" s="17" t="s">
        <v>61</v>
      </c>
      <c r="J23" s="3" t="s">
        <v>25</v>
      </c>
      <c r="L23" s="20" t="s">
        <v>86</v>
      </c>
      <c r="P23"/>
      <c r="Q23" s="19"/>
    </row>
    <row r="24" spans="1:20" ht="37.200000000000003" customHeight="1" x14ac:dyDescent="0.4">
      <c r="A24" s="5">
        <v>20</v>
      </c>
      <c r="B24" s="49"/>
      <c r="C24" s="17" t="s">
        <v>61</v>
      </c>
      <c r="D24" s="3" t="s">
        <v>25</v>
      </c>
      <c r="E24" s="3" t="s">
        <v>36</v>
      </c>
      <c r="F24" s="17" t="s">
        <v>61</v>
      </c>
      <c r="G24" s="3" t="s">
        <v>25</v>
      </c>
      <c r="H24" s="3" t="s">
        <v>36</v>
      </c>
      <c r="I24" s="17" t="s">
        <v>61</v>
      </c>
      <c r="J24" s="3" t="s">
        <v>25</v>
      </c>
      <c r="L24" s="20" t="s">
        <v>87</v>
      </c>
    </row>
    <row r="25" spans="1:20" ht="37.200000000000003" customHeight="1" x14ac:dyDescent="0.4">
      <c r="G25" s="4"/>
      <c r="H25" s="4"/>
      <c r="I25" s="4"/>
    </row>
    <row r="27" spans="1:20" ht="37.200000000000003" customHeight="1" x14ac:dyDescent="0.4">
      <c r="A27" s="46" t="s">
        <v>94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1:20" ht="67.2" customHeight="1" x14ac:dyDescent="0.4">
      <c r="A28" s="14" t="s">
        <v>11</v>
      </c>
      <c r="B28" s="14" t="s">
        <v>47</v>
      </c>
      <c r="C28" s="14" t="s">
        <v>46</v>
      </c>
      <c r="D28" s="14" t="s">
        <v>48</v>
      </c>
      <c r="E28" s="14" t="s">
        <v>45</v>
      </c>
      <c r="F28" s="14" t="s">
        <v>49</v>
      </c>
      <c r="G28" s="14" t="s">
        <v>50</v>
      </c>
      <c r="I28" s="5" t="s">
        <v>52</v>
      </c>
      <c r="J28" s="5" t="s">
        <v>53</v>
      </c>
      <c r="L28" s="5" t="s">
        <v>0</v>
      </c>
      <c r="M28" s="5" t="s">
        <v>12</v>
      </c>
      <c r="N28" s="5" t="s">
        <v>13</v>
      </c>
      <c r="O28" s="5" t="s">
        <v>14</v>
      </c>
    </row>
    <row r="29" spans="1:20" ht="37.200000000000003" customHeight="1" x14ac:dyDescent="0.7">
      <c r="A29" s="47">
        <v>1</v>
      </c>
      <c r="B29" s="10" t="s">
        <v>28</v>
      </c>
      <c r="C29" s="18" t="s">
        <v>34</v>
      </c>
      <c r="D29" s="18" t="s">
        <v>36</v>
      </c>
      <c r="E29" s="50" t="s">
        <v>28</v>
      </c>
      <c r="F29" s="50" t="s">
        <v>28</v>
      </c>
      <c r="G29" s="50" t="s">
        <v>50</v>
      </c>
      <c r="I29" s="5" t="s">
        <v>2</v>
      </c>
      <c r="J29" s="3">
        <v>5</v>
      </c>
      <c r="L29" s="7" t="s">
        <v>2</v>
      </c>
      <c r="M29" s="9">
        <v>5</v>
      </c>
      <c r="N29" s="9">
        <v>0</v>
      </c>
      <c r="O29" s="9">
        <v>0</v>
      </c>
      <c r="Q29" s="1" t="s">
        <v>79</v>
      </c>
    </row>
    <row r="30" spans="1:20" ht="37.200000000000003" customHeight="1" x14ac:dyDescent="0.7">
      <c r="A30" s="49"/>
      <c r="B30" s="17" t="s">
        <v>65</v>
      </c>
      <c r="C30" s="17" t="s">
        <v>60</v>
      </c>
      <c r="D30" s="17" t="s">
        <v>61</v>
      </c>
      <c r="E30" s="51"/>
      <c r="F30" s="51"/>
      <c r="G30" s="51"/>
      <c r="I30" s="5" t="s">
        <v>5</v>
      </c>
      <c r="J30" s="3">
        <v>4</v>
      </c>
      <c r="L30" s="5" t="s">
        <v>5</v>
      </c>
      <c r="M30" s="3">
        <v>4</v>
      </c>
      <c r="N30" s="9">
        <v>0</v>
      </c>
      <c r="O30" s="9">
        <v>0</v>
      </c>
      <c r="Q30" s="1" t="s">
        <v>80</v>
      </c>
      <c r="T30"/>
    </row>
    <row r="31" spans="1:20" ht="37.200000000000003" customHeight="1" x14ac:dyDescent="0.7">
      <c r="A31" s="47">
        <v>2</v>
      </c>
      <c r="B31" s="10" t="s">
        <v>28</v>
      </c>
      <c r="C31" s="18" t="s">
        <v>36</v>
      </c>
      <c r="D31" s="18" t="s">
        <v>64</v>
      </c>
      <c r="E31" s="50" t="s">
        <v>28</v>
      </c>
      <c r="F31" s="50" t="s">
        <v>28</v>
      </c>
      <c r="G31" s="50" t="s">
        <v>50</v>
      </c>
      <c r="I31" s="5" t="s">
        <v>6</v>
      </c>
      <c r="J31" s="3">
        <v>3</v>
      </c>
      <c r="L31" s="5" t="s">
        <v>6</v>
      </c>
      <c r="M31" s="3">
        <v>2</v>
      </c>
      <c r="N31" s="9">
        <v>0</v>
      </c>
      <c r="O31" s="9">
        <v>1</v>
      </c>
      <c r="Q31" s="1" t="s">
        <v>81</v>
      </c>
    </row>
    <row r="32" spans="1:20" ht="37.200000000000003" customHeight="1" x14ac:dyDescent="0.7">
      <c r="A32" s="49"/>
      <c r="B32" s="17" t="s">
        <v>63</v>
      </c>
      <c r="C32" s="17" t="s">
        <v>61</v>
      </c>
      <c r="D32" s="17" t="s">
        <v>69</v>
      </c>
      <c r="E32" s="51"/>
      <c r="F32" s="51"/>
      <c r="G32" s="51"/>
      <c r="I32" s="5" t="s">
        <v>7</v>
      </c>
      <c r="J32" s="3">
        <v>6</v>
      </c>
      <c r="L32" s="5" t="s">
        <v>7</v>
      </c>
      <c r="M32" s="3">
        <v>6</v>
      </c>
      <c r="N32" s="9">
        <v>0</v>
      </c>
      <c r="O32" s="9">
        <v>0</v>
      </c>
      <c r="Q32" s="1" t="s">
        <v>82</v>
      </c>
      <c r="T32"/>
    </row>
    <row r="33" spans="1:20" ht="37.200000000000003" customHeight="1" x14ac:dyDescent="0.7">
      <c r="A33" s="47">
        <v>3</v>
      </c>
      <c r="B33" s="10" t="s">
        <v>28</v>
      </c>
      <c r="C33" s="18" t="s">
        <v>36</v>
      </c>
      <c r="D33" s="18" t="s">
        <v>64</v>
      </c>
      <c r="E33" s="50" t="s">
        <v>28</v>
      </c>
      <c r="F33" s="50" t="s">
        <v>28</v>
      </c>
      <c r="G33" s="50" t="s">
        <v>50</v>
      </c>
      <c r="I33" s="5" t="s">
        <v>78</v>
      </c>
      <c r="J33" s="3">
        <v>12</v>
      </c>
      <c r="L33" s="5" t="s">
        <v>51</v>
      </c>
      <c r="M33" s="3">
        <f>AVERAGE(M29:M32)</f>
        <v>4.25</v>
      </c>
      <c r="N33" s="3">
        <f>AVERAGE(N29:N32)</f>
        <v>0</v>
      </c>
      <c r="O33" s="3">
        <f>AVERAGE(O29:O32)</f>
        <v>0.25</v>
      </c>
      <c r="Q33" s="1" t="s">
        <v>83</v>
      </c>
    </row>
    <row r="34" spans="1:20" ht="37.200000000000003" customHeight="1" x14ac:dyDescent="0.4">
      <c r="A34" s="49"/>
      <c r="B34" s="17" t="s">
        <v>65</v>
      </c>
      <c r="C34" s="17" t="s">
        <v>61</v>
      </c>
      <c r="D34" s="17" t="s">
        <v>66</v>
      </c>
      <c r="E34" s="51"/>
      <c r="F34" s="51"/>
      <c r="G34" s="51"/>
      <c r="I34" s="5" t="s">
        <v>54</v>
      </c>
      <c r="J34" s="3">
        <f>SUM(J29:J33)</f>
        <v>30</v>
      </c>
      <c r="T34"/>
    </row>
    <row r="35" spans="1:20" ht="37.200000000000003" customHeight="1" x14ac:dyDescent="0.4">
      <c r="A35" s="47">
        <v>4</v>
      </c>
      <c r="B35" s="10" t="s">
        <v>28</v>
      </c>
      <c r="C35" s="18" t="s">
        <v>33</v>
      </c>
      <c r="D35" s="18" t="s">
        <v>64</v>
      </c>
      <c r="E35" s="50" t="s">
        <v>28</v>
      </c>
      <c r="F35" s="50" t="s">
        <v>28</v>
      </c>
      <c r="G35" s="50" t="s">
        <v>50</v>
      </c>
      <c r="L35" s="5" t="s">
        <v>19</v>
      </c>
      <c r="M35" s="5" t="s">
        <v>16</v>
      </c>
      <c r="N35" s="5" t="s">
        <v>17</v>
      </c>
      <c r="O35" s="5" t="s">
        <v>18</v>
      </c>
    </row>
    <row r="36" spans="1:20" ht="37.200000000000003" customHeight="1" x14ac:dyDescent="0.7">
      <c r="A36" s="49"/>
      <c r="B36" s="17" t="s">
        <v>63</v>
      </c>
      <c r="C36" s="17" t="s">
        <v>67</v>
      </c>
      <c r="D36" s="17" t="s">
        <v>68</v>
      </c>
      <c r="E36" s="51"/>
      <c r="F36" s="51"/>
      <c r="G36" s="51"/>
      <c r="L36" s="5" t="s">
        <v>2</v>
      </c>
      <c r="M36" s="3">
        <f>M29/(M29+N29)</f>
        <v>1</v>
      </c>
      <c r="N36" s="3">
        <f>M29/(M29+O29)</f>
        <v>1</v>
      </c>
      <c r="O36" s="3">
        <f>2*M36*N36/(M36+N36)</f>
        <v>1</v>
      </c>
      <c r="Q36" s="21" t="s">
        <v>89</v>
      </c>
      <c r="T36"/>
    </row>
    <row r="37" spans="1:20" ht="37.200000000000003" customHeight="1" x14ac:dyDescent="0.7">
      <c r="A37" s="47">
        <v>5</v>
      </c>
      <c r="B37" s="10" t="s">
        <v>28</v>
      </c>
      <c r="C37" s="18" t="s">
        <v>33</v>
      </c>
      <c r="D37" s="18" t="s">
        <v>34</v>
      </c>
      <c r="E37" s="50" t="s">
        <v>33</v>
      </c>
      <c r="F37" s="50" t="s">
        <v>33</v>
      </c>
      <c r="G37" s="50" t="s">
        <v>50</v>
      </c>
      <c r="L37" s="5" t="s">
        <v>5</v>
      </c>
      <c r="M37" s="3">
        <f t="shared" ref="M37:M39" si="1">M30/(M30+N30)</f>
        <v>1</v>
      </c>
      <c r="N37" s="3">
        <f t="shared" ref="N37:N39" si="2">M30/(M30+O30)</f>
        <v>1</v>
      </c>
      <c r="O37" s="3">
        <f t="shared" ref="O37:O39" si="3">2*M37*N37/(M37+N37)</f>
        <v>1</v>
      </c>
      <c r="Q37" s="21" t="s">
        <v>90</v>
      </c>
    </row>
    <row r="38" spans="1:20" ht="37.200000000000003" customHeight="1" x14ac:dyDescent="0.7">
      <c r="A38" s="49"/>
      <c r="B38" s="17" t="s">
        <v>71</v>
      </c>
      <c r="C38" s="17" t="s">
        <v>67</v>
      </c>
      <c r="D38" s="17" t="s">
        <v>60</v>
      </c>
      <c r="E38" s="51"/>
      <c r="F38" s="51"/>
      <c r="G38" s="51"/>
      <c r="L38" s="5" t="s">
        <v>6</v>
      </c>
      <c r="M38" s="3">
        <f t="shared" si="1"/>
        <v>1</v>
      </c>
      <c r="N38" s="3">
        <f t="shared" si="2"/>
        <v>0.66666666666666663</v>
      </c>
      <c r="O38" s="3">
        <f t="shared" si="3"/>
        <v>0.8</v>
      </c>
      <c r="Q38" s="21" t="s">
        <v>91</v>
      </c>
    </row>
    <row r="39" spans="1:20" ht="37.200000000000003" customHeight="1" x14ac:dyDescent="0.7">
      <c r="A39" s="47">
        <v>6</v>
      </c>
      <c r="B39" s="18" t="s">
        <v>33</v>
      </c>
      <c r="C39" s="18" t="s">
        <v>36</v>
      </c>
      <c r="D39" s="18" t="s">
        <v>64</v>
      </c>
      <c r="E39" s="50" t="s">
        <v>33</v>
      </c>
      <c r="F39" s="50" t="s">
        <v>33</v>
      </c>
      <c r="G39" s="50" t="s">
        <v>50</v>
      </c>
      <c r="L39" s="5" t="s">
        <v>7</v>
      </c>
      <c r="M39" s="3">
        <f t="shared" si="1"/>
        <v>1</v>
      </c>
      <c r="N39" s="3">
        <f t="shared" si="2"/>
        <v>1</v>
      </c>
      <c r="O39" s="3">
        <f t="shared" si="3"/>
        <v>1</v>
      </c>
      <c r="Q39" s="21" t="s">
        <v>92</v>
      </c>
    </row>
    <row r="40" spans="1:20" ht="37.200000000000003" customHeight="1" x14ac:dyDescent="0.4">
      <c r="A40" s="49"/>
      <c r="B40" s="17" t="s">
        <v>70</v>
      </c>
      <c r="C40" s="17" t="s">
        <v>61</v>
      </c>
      <c r="D40" s="17" t="s">
        <v>68</v>
      </c>
      <c r="E40" s="51"/>
      <c r="F40" s="51"/>
      <c r="G40" s="51"/>
      <c r="L40" s="15" t="s">
        <v>51</v>
      </c>
      <c r="M40" s="16">
        <f>AVERAGE(M36:M39)</f>
        <v>1</v>
      </c>
      <c r="N40" s="16">
        <f t="shared" ref="N40:O40" si="4">AVERAGE(N36:N39)</f>
        <v>0.91666666666666663</v>
      </c>
      <c r="O40" s="16">
        <f t="shared" si="4"/>
        <v>0.95</v>
      </c>
    </row>
    <row r="41" spans="1:20" ht="37.200000000000003" customHeight="1" x14ac:dyDescent="0.4">
      <c r="A41" s="47">
        <v>7</v>
      </c>
      <c r="B41" s="18" t="s">
        <v>33</v>
      </c>
      <c r="C41" s="18" t="s">
        <v>64</v>
      </c>
      <c r="D41" s="18" t="s">
        <v>64</v>
      </c>
      <c r="E41" s="50" t="s">
        <v>33</v>
      </c>
      <c r="F41" s="50" t="s">
        <v>33</v>
      </c>
      <c r="G41" s="50" t="s">
        <v>50</v>
      </c>
    </row>
    <row r="42" spans="1:20" ht="37.200000000000003" customHeight="1" x14ac:dyDescent="0.4">
      <c r="A42" s="49"/>
      <c r="B42" s="17" t="s">
        <v>62</v>
      </c>
      <c r="C42" s="17" t="s">
        <v>66</v>
      </c>
      <c r="D42" s="17" t="s">
        <v>69</v>
      </c>
      <c r="E42" s="51"/>
      <c r="F42" s="51"/>
      <c r="G42" s="51"/>
    </row>
    <row r="43" spans="1:20" ht="37.200000000000003" customHeight="1" x14ac:dyDescent="0.4">
      <c r="A43" s="47">
        <v>8</v>
      </c>
      <c r="B43" s="18" t="s">
        <v>36</v>
      </c>
      <c r="C43" s="18" t="s">
        <v>64</v>
      </c>
      <c r="D43" s="18" t="s">
        <v>64</v>
      </c>
      <c r="E43" s="50" t="s">
        <v>36</v>
      </c>
      <c r="F43" s="50" t="s">
        <v>36</v>
      </c>
      <c r="G43" s="50" t="s">
        <v>50</v>
      </c>
    </row>
    <row r="44" spans="1:20" ht="37.200000000000003" customHeight="1" x14ac:dyDescent="0.4">
      <c r="A44" s="49"/>
      <c r="B44" s="17" t="s">
        <v>61</v>
      </c>
      <c r="C44" s="17" t="s">
        <v>66</v>
      </c>
      <c r="D44" s="17" t="s">
        <v>74</v>
      </c>
      <c r="E44" s="51"/>
      <c r="F44" s="51"/>
      <c r="G44" s="51"/>
    </row>
    <row r="45" spans="1:20" ht="37.200000000000003" customHeight="1" x14ac:dyDescent="0.4">
      <c r="A45" s="47">
        <v>9</v>
      </c>
      <c r="B45" s="18" t="s">
        <v>36</v>
      </c>
      <c r="C45" s="18" t="s">
        <v>64</v>
      </c>
      <c r="D45" s="18" t="s">
        <v>64</v>
      </c>
      <c r="E45" s="50" t="s">
        <v>36</v>
      </c>
      <c r="F45" s="50" t="s">
        <v>36</v>
      </c>
      <c r="G45" s="50" t="s">
        <v>50</v>
      </c>
    </row>
    <row r="46" spans="1:20" ht="37.200000000000003" customHeight="1" x14ac:dyDescent="0.4">
      <c r="A46" s="49"/>
      <c r="B46" s="17" t="s">
        <v>72</v>
      </c>
      <c r="C46" s="17" t="s">
        <v>73</v>
      </c>
      <c r="D46" s="17" t="s">
        <v>66</v>
      </c>
      <c r="E46" s="51"/>
      <c r="F46" s="51"/>
      <c r="G46" s="51"/>
    </row>
    <row r="47" spans="1:20" ht="37.200000000000003" customHeight="1" x14ac:dyDescent="0.4">
      <c r="A47" s="63">
        <v>10</v>
      </c>
      <c r="B47" s="31" t="s">
        <v>34</v>
      </c>
      <c r="C47" s="31" t="s">
        <v>64</v>
      </c>
      <c r="D47" s="31" t="s">
        <v>64</v>
      </c>
      <c r="E47" s="65" t="s">
        <v>34</v>
      </c>
      <c r="F47" s="65" t="s">
        <v>77</v>
      </c>
      <c r="G47" s="65" t="s">
        <v>76</v>
      </c>
    </row>
    <row r="48" spans="1:20" ht="37.200000000000003" customHeight="1" x14ac:dyDescent="0.4">
      <c r="A48" s="64"/>
      <c r="B48" s="32" t="s">
        <v>107</v>
      </c>
      <c r="C48" s="32" t="s">
        <v>66</v>
      </c>
      <c r="D48" s="32" t="s">
        <v>73</v>
      </c>
      <c r="E48" s="66"/>
      <c r="F48" s="66"/>
      <c r="G48" s="66"/>
    </row>
    <row r="51" spans="1:17" ht="37.200000000000003" customHeight="1" x14ac:dyDescent="0.4">
      <c r="A51" s="46" t="s">
        <v>93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</row>
    <row r="52" spans="1:17" ht="37.200000000000003" customHeight="1" x14ac:dyDescent="0.4">
      <c r="A52" s="5" t="s">
        <v>95</v>
      </c>
      <c r="B52" s="5" t="s">
        <v>96</v>
      </c>
      <c r="C52" s="5" t="s">
        <v>97</v>
      </c>
      <c r="D52" s="5" t="s">
        <v>102</v>
      </c>
      <c r="E52" s="5" t="s">
        <v>101</v>
      </c>
      <c r="F52" s="5" t="s">
        <v>103</v>
      </c>
      <c r="G52" s="5" t="s">
        <v>98</v>
      </c>
      <c r="H52" s="5" t="s">
        <v>104</v>
      </c>
      <c r="J52" s="5" t="s">
        <v>95</v>
      </c>
      <c r="K52" s="5" t="s">
        <v>96</v>
      </c>
      <c r="L52" s="5" t="s">
        <v>97</v>
      </c>
      <c r="M52" s="5" t="s">
        <v>102</v>
      </c>
      <c r="N52" s="5" t="s">
        <v>101</v>
      </c>
      <c r="O52" s="5" t="s">
        <v>103</v>
      </c>
      <c r="P52" s="5" t="s">
        <v>98</v>
      </c>
      <c r="Q52" s="5" t="s">
        <v>104</v>
      </c>
    </row>
    <row r="53" spans="1:17" ht="37.200000000000003" customHeight="1" x14ac:dyDescent="0.4">
      <c r="A53" s="39">
        <v>244002</v>
      </c>
      <c r="B53" s="22">
        <v>0.46111111111111114</v>
      </c>
      <c r="C53" s="3" t="s">
        <v>99</v>
      </c>
      <c r="D53" s="3" t="s">
        <v>34</v>
      </c>
      <c r="E53" s="3" t="s">
        <v>100</v>
      </c>
      <c r="F53" s="3" t="s">
        <v>24</v>
      </c>
      <c r="G53" s="3" t="s">
        <v>50</v>
      </c>
      <c r="H53" s="24" t="s">
        <v>105</v>
      </c>
      <c r="J53" s="37">
        <v>244021</v>
      </c>
      <c r="K53" s="23">
        <v>0.33680555555555558</v>
      </c>
      <c r="L53" s="24" t="s">
        <v>107</v>
      </c>
      <c r="M53" s="24" t="s">
        <v>34</v>
      </c>
      <c r="N53" s="24" t="s">
        <v>100</v>
      </c>
      <c r="O53" s="24" t="s">
        <v>24</v>
      </c>
      <c r="P53" s="24" t="s">
        <v>50</v>
      </c>
      <c r="Q53" s="24" t="s">
        <v>105</v>
      </c>
    </row>
    <row r="54" spans="1:17" ht="37.200000000000003" customHeight="1" x14ac:dyDescent="0.4">
      <c r="A54" s="40"/>
      <c r="B54" s="22">
        <v>0.76041666666666663</v>
      </c>
      <c r="C54" s="3" t="s">
        <v>75</v>
      </c>
      <c r="D54" s="3" t="s">
        <v>34</v>
      </c>
      <c r="E54" s="3" t="s">
        <v>100</v>
      </c>
      <c r="F54" s="3" t="s">
        <v>24</v>
      </c>
      <c r="G54" s="3" t="s">
        <v>50</v>
      </c>
      <c r="H54" s="24" t="s">
        <v>105</v>
      </c>
      <c r="J54" s="37"/>
      <c r="K54" s="23">
        <v>0.52916666666666667</v>
      </c>
      <c r="L54" s="24" t="s">
        <v>61</v>
      </c>
      <c r="M54" s="24" t="s">
        <v>36</v>
      </c>
      <c r="N54" s="24" t="s">
        <v>100</v>
      </c>
      <c r="O54" s="24" t="s">
        <v>25</v>
      </c>
      <c r="P54" s="24" t="s">
        <v>50</v>
      </c>
      <c r="Q54" s="24" t="s">
        <v>105</v>
      </c>
    </row>
    <row r="55" spans="1:17" ht="37.200000000000003" customHeight="1" x14ac:dyDescent="0.4">
      <c r="A55" s="40"/>
      <c r="B55" s="22">
        <v>0.77222222222222225</v>
      </c>
      <c r="C55" s="3" t="s">
        <v>99</v>
      </c>
      <c r="D55" s="3" t="s">
        <v>34</v>
      </c>
      <c r="E55" s="3" t="s">
        <v>100</v>
      </c>
      <c r="F55" s="3" t="s">
        <v>24</v>
      </c>
      <c r="G55" s="3" t="s">
        <v>50</v>
      </c>
      <c r="H55" s="24" t="s">
        <v>105</v>
      </c>
      <c r="J55" s="37"/>
      <c r="K55" s="33">
        <v>0.96180555555555558</v>
      </c>
      <c r="L55" s="34" t="s">
        <v>106</v>
      </c>
      <c r="M55" s="34" t="s">
        <v>105</v>
      </c>
      <c r="N55" s="34" t="s">
        <v>100</v>
      </c>
      <c r="O55" s="34" t="s">
        <v>25</v>
      </c>
      <c r="P55" s="34" t="s">
        <v>76</v>
      </c>
      <c r="Q55" s="34" t="s">
        <v>130</v>
      </c>
    </row>
    <row r="56" spans="1:17" ht="37.200000000000003" customHeight="1" x14ac:dyDescent="0.4">
      <c r="A56" s="41"/>
      <c r="B56" s="33">
        <v>0.92361111111111116</v>
      </c>
      <c r="C56" s="34" t="s">
        <v>106</v>
      </c>
      <c r="D56" s="34" t="s">
        <v>105</v>
      </c>
      <c r="E56" s="34" t="s">
        <v>100</v>
      </c>
      <c r="F56" s="34" t="s">
        <v>25</v>
      </c>
      <c r="G56" s="34" t="s">
        <v>76</v>
      </c>
      <c r="H56" s="34" t="s">
        <v>131</v>
      </c>
      <c r="J56" s="42">
        <v>244022</v>
      </c>
      <c r="K56" s="23">
        <v>0.3</v>
      </c>
      <c r="L56" s="24" t="s">
        <v>70</v>
      </c>
      <c r="M56" s="24" t="s">
        <v>33</v>
      </c>
      <c r="N56" s="24" t="s">
        <v>100</v>
      </c>
      <c r="O56" s="24" t="s">
        <v>23</v>
      </c>
      <c r="P56" s="24" t="s">
        <v>50</v>
      </c>
      <c r="Q56" s="24" t="s">
        <v>105</v>
      </c>
    </row>
    <row r="57" spans="1:17" ht="37.200000000000003" customHeight="1" x14ac:dyDescent="0.4">
      <c r="A57" s="39">
        <v>244003</v>
      </c>
      <c r="B57" s="23">
        <v>0.32291666666666669</v>
      </c>
      <c r="C57" s="24" t="s">
        <v>70</v>
      </c>
      <c r="D57" s="24" t="s">
        <v>33</v>
      </c>
      <c r="E57" s="24" t="s">
        <v>100</v>
      </c>
      <c r="F57" s="24" t="s">
        <v>23</v>
      </c>
      <c r="G57" s="24" t="s">
        <v>50</v>
      </c>
      <c r="H57" s="24" t="s">
        <v>105</v>
      </c>
      <c r="J57" s="43"/>
      <c r="K57" s="22">
        <v>0.39444444444444443</v>
      </c>
      <c r="L57" s="3" t="s">
        <v>126</v>
      </c>
      <c r="M57" s="24" t="s">
        <v>33</v>
      </c>
      <c r="N57" s="24" t="s">
        <v>100</v>
      </c>
      <c r="O57" s="24" t="s">
        <v>23</v>
      </c>
      <c r="P57" s="24" t="s">
        <v>50</v>
      </c>
      <c r="Q57" s="24" t="s">
        <v>105</v>
      </c>
    </row>
    <row r="58" spans="1:17" ht="37.200000000000003" customHeight="1" x14ac:dyDescent="0.4">
      <c r="A58" s="40"/>
      <c r="B58" s="23">
        <v>0.6430555555555556</v>
      </c>
      <c r="C58" s="3" t="s">
        <v>99</v>
      </c>
      <c r="D58" s="3" t="s">
        <v>34</v>
      </c>
      <c r="E58" s="3" t="s">
        <v>100</v>
      </c>
      <c r="F58" s="3" t="s">
        <v>24</v>
      </c>
      <c r="G58" s="3" t="s">
        <v>50</v>
      </c>
      <c r="H58" s="24" t="s">
        <v>105</v>
      </c>
      <c r="J58" s="44"/>
      <c r="K58" s="23">
        <v>0.88541666666666663</v>
      </c>
      <c r="L58" s="24" t="s">
        <v>61</v>
      </c>
      <c r="M58" s="24" t="s">
        <v>36</v>
      </c>
      <c r="N58" s="24" t="s">
        <v>100</v>
      </c>
      <c r="O58" s="24" t="s">
        <v>25</v>
      </c>
      <c r="P58" s="24" t="s">
        <v>50</v>
      </c>
      <c r="Q58" s="24" t="s">
        <v>105</v>
      </c>
    </row>
    <row r="59" spans="1:17" ht="37.200000000000003" customHeight="1" x14ac:dyDescent="0.4">
      <c r="A59" s="40"/>
      <c r="B59" s="23">
        <v>0.86111111111111116</v>
      </c>
      <c r="C59" s="24" t="s">
        <v>61</v>
      </c>
      <c r="D59" s="24" t="s">
        <v>36</v>
      </c>
      <c r="E59" s="24" t="s">
        <v>100</v>
      </c>
      <c r="F59" s="24" t="s">
        <v>25</v>
      </c>
      <c r="G59" s="24" t="s">
        <v>50</v>
      </c>
      <c r="H59" s="24" t="s">
        <v>105</v>
      </c>
      <c r="J59" s="42">
        <v>244023</v>
      </c>
      <c r="K59" s="23">
        <v>0.43194444444444446</v>
      </c>
      <c r="L59" s="24" t="s">
        <v>61</v>
      </c>
      <c r="M59" s="24" t="s">
        <v>36</v>
      </c>
      <c r="N59" s="24" t="s">
        <v>100</v>
      </c>
      <c r="O59" s="24" t="s">
        <v>25</v>
      </c>
      <c r="P59" s="24" t="s">
        <v>50</v>
      </c>
      <c r="Q59" s="24" t="s">
        <v>105</v>
      </c>
    </row>
    <row r="60" spans="1:17" ht="37.200000000000003" customHeight="1" x14ac:dyDescent="0.4">
      <c r="A60" s="40"/>
      <c r="B60" s="23">
        <v>0.87986111111111109</v>
      </c>
      <c r="C60" s="24" t="s">
        <v>61</v>
      </c>
      <c r="D60" s="24" t="s">
        <v>36</v>
      </c>
      <c r="E60" s="24" t="s">
        <v>100</v>
      </c>
      <c r="F60" s="24" t="s">
        <v>25</v>
      </c>
      <c r="G60" s="24" t="s">
        <v>50</v>
      </c>
      <c r="H60" s="24" t="s">
        <v>105</v>
      </c>
      <c r="J60" s="43"/>
      <c r="K60" s="23">
        <v>0.65763888888888888</v>
      </c>
      <c r="L60" s="3" t="s">
        <v>99</v>
      </c>
      <c r="M60" s="3" t="s">
        <v>34</v>
      </c>
      <c r="N60" s="3" t="s">
        <v>100</v>
      </c>
      <c r="O60" s="3" t="s">
        <v>24</v>
      </c>
      <c r="P60" s="3" t="s">
        <v>50</v>
      </c>
      <c r="Q60" s="24" t="s">
        <v>105</v>
      </c>
    </row>
    <row r="61" spans="1:17" ht="37.200000000000003" customHeight="1" x14ac:dyDescent="0.4">
      <c r="A61" s="42">
        <v>244004</v>
      </c>
      <c r="B61" s="23">
        <v>0.38333333333333336</v>
      </c>
      <c r="C61" s="24" t="s">
        <v>107</v>
      </c>
      <c r="D61" s="24" t="s">
        <v>34</v>
      </c>
      <c r="E61" s="24" t="s">
        <v>100</v>
      </c>
      <c r="F61" s="24" t="s">
        <v>24</v>
      </c>
      <c r="G61" s="24" t="s">
        <v>50</v>
      </c>
      <c r="H61" s="24" t="s">
        <v>105</v>
      </c>
      <c r="J61" s="43"/>
      <c r="K61" s="33">
        <v>0.85624999999999996</v>
      </c>
      <c r="L61" s="34" t="s">
        <v>75</v>
      </c>
      <c r="M61" s="34" t="s">
        <v>34</v>
      </c>
      <c r="N61" s="34" t="s">
        <v>35</v>
      </c>
      <c r="O61" s="34" t="s">
        <v>105</v>
      </c>
      <c r="P61" s="34" t="s">
        <v>76</v>
      </c>
      <c r="Q61" s="34" t="s">
        <v>110</v>
      </c>
    </row>
    <row r="62" spans="1:17" ht="37.200000000000003" customHeight="1" x14ac:dyDescent="0.4">
      <c r="A62" s="43"/>
      <c r="B62" s="23">
        <v>0.52708333333333335</v>
      </c>
      <c r="C62" s="3" t="s">
        <v>99</v>
      </c>
      <c r="D62" s="3" t="s">
        <v>34</v>
      </c>
      <c r="E62" s="3" t="s">
        <v>100</v>
      </c>
      <c r="F62" s="3" t="s">
        <v>24</v>
      </c>
      <c r="G62" s="3" t="s">
        <v>50</v>
      </c>
      <c r="H62" s="24" t="s">
        <v>105</v>
      </c>
      <c r="J62" s="44"/>
      <c r="K62" s="23">
        <v>0.96736111111111112</v>
      </c>
      <c r="L62" s="24" t="s">
        <v>61</v>
      </c>
      <c r="M62" s="24" t="s">
        <v>36</v>
      </c>
      <c r="N62" s="24" t="s">
        <v>100</v>
      </c>
      <c r="O62" s="24" t="s">
        <v>25</v>
      </c>
      <c r="P62" s="24" t="s">
        <v>50</v>
      </c>
      <c r="Q62" s="24" t="s">
        <v>105</v>
      </c>
    </row>
    <row r="63" spans="1:17" ht="37.200000000000003" customHeight="1" x14ac:dyDescent="0.4">
      <c r="A63" s="43"/>
      <c r="B63" s="23">
        <v>0.60138888888888886</v>
      </c>
      <c r="C63" s="24" t="s">
        <v>61</v>
      </c>
      <c r="D63" s="24" t="s">
        <v>36</v>
      </c>
      <c r="E63" s="24" t="s">
        <v>100</v>
      </c>
      <c r="F63" s="24" t="s">
        <v>25</v>
      </c>
      <c r="G63" s="24" t="s">
        <v>50</v>
      </c>
      <c r="H63" s="24" t="s">
        <v>105</v>
      </c>
      <c r="J63" s="38" t="s">
        <v>111</v>
      </c>
      <c r="K63" s="38"/>
      <c r="L63" s="38"/>
      <c r="M63" s="38"/>
      <c r="N63" s="38"/>
      <c r="O63" s="38"/>
      <c r="P63" s="38"/>
      <c r="Q63" s="38"/>
    </row>
    <row r="64" spans="1:17" ht="37.200000000000003" customHeight="1" x14ac:dyDescent="0.4">
      <c r="A64" s="44"/>
      <c r="B64" s="23">
        <v>0.82916666666666672</v>
      </c>
      <c r="C64" s="24" t="s">
        <v>70</v>
      </c>
      <c r="D64" s="24" t="s">
        <v>33</v>
      </c>
      <c r="E64" s="24" t="s">
        <v>100</v>
      </c>
      <c r="F64" s="24" t="s">
        <v>23</v>
      </c>
      <c r="G64" s="24" t="s">
        <v>50</v>
      </c>
      <c r="H64" s="24" t="s">
        <v>105</v>
      </c>
      <c r="J64" s="38" t="s">
        <v>112</v>
      </c>
      <c r="K64" s="38"/>
      <c r="L64" s="38"/>
      <c r="M64" s="38"/>
      <c r="N64" s="38"/>
      <c r="O64" s="38"/>
      <c r="P64" s="38"/>
      <c r="Q64" s="38"/>
    </row>
    <row r="65" spans="1:14" ht="37.200000000000003" customHeight="1" x14ac:dyDescent="0.7">
      <c r="A65" s="45" t="s">
        <v>108</v>
      </c>
      <c r="B65" s="45"/>
      <c r="C65" s="45"/>
      <c r="D65" s="45"/>
      <c r="E65" s="45"/>
      <c r="F65" s="45"/>
      <c r="G65" s="45"/>
      <c r="H65" s="45"/>
      <c r="K65" s="14" t="s">
        <v>127</v>
      </c>
      <c r="L65" s="14" t="s">
        <v>128</v>
      </c>
      <c r="N65" s="21" t="s">
        <v>123</v>
      </c>
    </row>
    <row r="66" spans="1:14" ht="37.200000000000003" customHeight="1" x14ac:dyDescent="0.4">
      <c r="A66" s="36" t="s">
        <v>109</v>
      </c>
      <c r="B66" s="36"/>
      <c r="C66" s="36"/>
      <c r="D66" s="36"/>
      <c r="E66" s="36"/>
      <c r="F66" s="36"/>
      <c r="G66" s="36"/>
      <c r="H66" s="36"/>
      <c r="K66" s="14" t="s">
        <v>20</v>
      </c>
      <c r="L66" s="24">
        <v>0.8</v>
      </c>
      <c r="N66" s="20" t="s">
        <v>124</v>
      </c>
    </row>
    <row r="67" spans="1:14" ht="37.200000000000003" customHeight="1" x14ac:dyDescent="0.7">
      <c r="B67" s="14" t="s">
        <v>127</v>
      </c>
      <c r="C67" s="14" t="s">
        <v>128</v>
      </c>
      <c r="E67" s="21" t="s">
        <v>115</v>
      </c>
      <c r="F67" s="4"/>
      <c r="G67" s="4"/>
      <c r="K67" s="14" t="s">
        <v>129</v>
      </c>
      <c r="L67" s="24">
        <v>0.11</v>
      </c>
      <c r="N67" s="20" t="s">
        <v>119</v>
      </c>
    </row>
    <row r="68" spans="1:14" ht="37.200000000000003" customHeight="1" x14ac:dyDescent="0.4">
      <c r="B68" s="14" t="s">
        <v>20</v>
      </c>
      <c r="C68" s="24">
        <v>0.92</v>
      </c>
      <c r="E68" s="20" t="s">
        <v>113</v>
      </c>
      <c r="F68" s="4"/>
      <c r="G68" s="4"/>
      <c r="K68" s="27"/>
      <c r="L68" s="28"/>
      <c r="N68" s="26" t="s">
        <v>120</v>
      </c>
    </row>
    <row r="69" spans="1:14" ht="37.200000000000003" customHeight="1" x14ac:dyDescent="0.4">
      <c r="B69" s="14" t="s">
        <v>129</v>
      </c>
      <c r="C69" s="24">
        <v>0</v>
      </c>
      <c r="E69" s="20" t="s">
        <v>114</v>
      </c>
      <c r="F69" s="4"/>
      <c r="G69" s="4"/>
      <c r="N69" s="26" t="s">
        <v>121</v>
      </c>
    </row>
    <row r="70" spans="1:14" ht="37.200000000000003" customHeight="1" x14ac:dyDescent="0.7">
      <c r="B70" s="27"/>
      <c r="C70" s="28"/>
      <c r="E70" s="21" t="s">
        <v>116</v>
      </c>
      <c r="F70" s="4"/>
      <c r="G70" s="4"/>
      <c r="N70" s="21" t="s">
        <v>125</v>
      </c>
    </row>
    <row r="71" spans="1:14" ht="37.200000000000003" customHeight="1" x14ac:dyDescent="0.7">
      <c r="C71" s="4"/>
      <c r="E71" s="21" t="s">
        <v>117</v>
      </c>
      <c r="F71" s="4"/>
      <c r="G71" s="4"/>
      <c r="N71" s="21" t="s">
        <v>117</v>
      </c>
    </row>
    <row r="72" spans="1:14" ht="37.200000000000003" customHeight="1" x14ac:dyDescent="0.7">
      <c r="C72" s="4"/>
      <c r="E72" s="21" t="s">
        <v>118</v>
      </c>
      <c r="F72" s="4"/>
      <c r="G72" s="4"/>
      <c r="L72" s="25"/>
      <c r="N72" s="21" t="s">
        <v>122</v>
      </c>
    </row>
    <row r="73" spans="1:14" ht="37.200000000000003" customHeight="1" x14ac:dyDescent="0.7">
      <c r="C73" s="4"/>
      <c r="E73" s="21"/>
      <c r="F73" s="4"/>
      <c r="G73" s="4"/>
      <c r="N73" s="21"/>
    </row>
    <row r="74" spans="1:14" ht="37.200000000000003" customHeight="1" x14ac:dyDescent="0.4">
      <c r="D74" s="4"/>
      <c r="E74" s="4"/>
      <c r="F74" s="4"/>
      <c r="G74" s="4"/>
      <c r="L74"/>
    </row>
    <row r="75" spans="1:14" ht="37.200000000000003" customHeight="1" x14ac:dyDescent="0.4">
      <c r="B75" s="27"/>
      <c r="C75" s="27"/>
      <c r="D75" s="27"/>
      <c r="E75" s="35"/>
      <c r="F75" s="4"/>
      <c r="G75" s="4"/>
    </row>
    <row r="76" spans="1:14" ht="37.200000000000003" customHeight="1" x14ac:dyDescent="0.4">
      <c r="B76" s="27"/>
      <c r="C76" s="28"/>
      <c r="D76" s="28"/>
      <c r="E76" s="4"/>
    </row>
    <row r="77" spans="1:14" ht="37.200000000000003" customHeight="1" x14ac:dyDescent="0.4">
      <c r="B77" s="27"/>
      <c r="C77" s="28"/>
      <c r="D77" s="28"/>
      <c r="E77" s="4"/>
      <c r="L77"/>
    </row>
    <row r="78" spans="1:14" ht="37.200000000000003" customHeight="1" x14ac:dyDescent="0.4">
      <c r="B78" s="27"/>
      <c r="C78" s="28"/>
      <c r="D78" s="28"/>
      <c r="E78" s="4"/>
    </row>
    <row r="79" spans="1:14" ht="37.200000000000003" customHeight="1" x14ac:dyDescent="0.4">
      <c r="B79" s="4"/>
      <c r="C79" s="4"/>
      <c r="D79" s="4"/>
      <c r="E79" s="4"/>
    </row>
  </sheetData>
  <mergeCells count="65">
    <mergeCell ref="A41:A42"/>
    <mergeCell ref="E41:E42"/>
    <mergeCell ref="F41:F42"/>
    <mergeCell ref="G41:G42"/>
    <mergeCell ref="A47:A48"/>
    <mergeCell ref="E47:E48"/>
    <mergeCell ref="F47:F48"/>
    <mergeCell ref="G47:G48"/>
    <mergeCell ref="A43:A44"/>
    <mergeCell ref="E43:E44"/>
    <mergeCell ref="F43:F44"/>
    <mergeCell ref="G43:G44"/>
    <mergeCell ref="A45:A46"/>
    <mergeCell ref="E45:E46"/>
    <mergeCell ref="F45:F46"/>
    <mergeCell ref="G45:G46"/>
    <mergeCell ref="G33:G34"/>
    <mergeCell ref="F35:F36"/>
    <mergeCell ref="G35:G36"/>
    <mergeCell ref="A39:A40"/>
    <mergeCell ref="E39:E40"/>
    <mergeCell ref="F39:F40"/>
    <mergeCell ref="G39:G40"/>
    <mergeCell ref="A37:A38"/>
    <mergeCell ref="H18:J18"/>
    <mergeCell ref="A1:P1"/>
    <mergeCell ref="C2:D3"/>
    <mergeCell ref="E2:J2"/>
    <mergeCell ref="E3:G3"/>
    <mergeCell ref="H3:J3"/>
    <mergeCell ref="B2:B4"/>
    <mergeCell ref="A2:A4"/>
    <mergeCell ref="B5:B9"/>
    <mergeCell ref="B10:B14"/>
    <mergeCell ref="E29:E30"/>
    <mergeCell ref="E31:E32"/>
    <mergeCell ref="E33:E34"/>
    <mergeCell ref="E35:E36"/>
    <mergeCell ref="F33:F34"/>
    <mergeCell ref="A51:Q51"/>
    <mergeCell ref="B20:B24"/>
    <mergeCell ref="B15:B19"/>
    <mergeCell ref="F37:F38"/>
    <mergeCell ref="E37:E38"/>
    <mergeCell ref="G37:G38"/>
    <mergeCell ref="E18:G18"/>
    <mergeCell ref="A27:O27"/>
    <mergeCell ref="A29:A30"/>
    <mergeCell ref="A31:A32"/>
    <mergeCell ref="A33:A34"/>
    <mergeCell ref="F29:F30"/>
    <mergeCell ref="F31:F32"/>
    <mergeCell ref="G29:G30"/>
    <mergeCell ref="G31:G32"/>
    <mergeCell ref="A35:A36"/>
    <mergeCell ref="A66:H66"/>
    <mergeCell ref="J53:J55"/>
    <mergeCell ref="J64:Q64"/>
    <mergeCell ref="J63:Q63"/>
    <mergeCell ref="A53:A56"/>
    <mergeCell ref="A57:A60"/>
    <mergeCell ref="A61:A64"/>
    <mergeCell ref="A65:H65"/>
    <mergeCell ref="J56:J58"/>
    <mergeCell ref="J59:J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PIMMADA WANGSOMBAT</dc:creator>
  <cp:lastModifiedBy>Pimmada Wangsombat</cp:lastModifiedBy>
  <cp:lastPrinted>2026-03-22T15:50:06Z</cp:lastPrinted>
  <dcterms:created xsi:type="dcterms:W3CDTF">2026-02-24T10:24:40Z</dcterms:created>
  <dcterms:modified xsi:type="dcterms:W3CDTF">2026-03-24T11:27:13Z</dcterms:modified>
</cp:coreProperties>
</file>